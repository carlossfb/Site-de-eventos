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20" yWindow="-120" windowWidth="20640" windowHeight="11160" activeTab="3"/>
  </bookViews>
  <sheets>
    <sheet name="CALCULAR GASTOS" sheetId="1" r:id="rId1"/>
    <sheet name="CALCULAR GANHOS" sheetId="2" r:id="rId2"/>
    <sheet name="MENU INICIAL" sheetId="4" r:id="rId3"/>
    <sheet name="FATURA" sheetId="5" r:id="rId4"/>
    <sheet name="INFORMAÇÕES EVENTO" sheetId="6" r:id="rId5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5" l="1"/>
  <c r="D2" i="5" l="1"/>
  <c r="A2" i="1" l="1"/>
  <c r="A2" i="2" s="1"/>
  <c r="B2" i="1"/>
  <c r="B2" i="2" l="1"/>
  <c r="B3" i="2"/>
  <c r="C11" i="5"/>
  <c r="C10" i="5"/>
  <c r="C9" i="5"/>
  <c r="C8" i="5"/>
  <c r="C7" i="5"/>
  <c r="C6" i="5"/>
  <c r="C3" i="1" l="1"/>
  <c r="C16" i="5" s="1"/>
  <c r="C4" i="2"/>
  <c r="C18" i="5" s="1"/>
  <c r="C20" i="5" l="1"/>
</calcChain>
</file>

<file path=xl/sharedStrings.xml><?xml version="1.0" encoding="utf-8"?>
<sst xmlns="http://schemas.openxmlformats.org/spreadsheetml/2006/main" count="52" uniqueCount="48">
  <si>
    <t>NOME DO EVENTO</t>
  </si>
  <si>
    <t>DATA DO EVENTO</t>
  </si>
  <si>
    <t>PREÇO GASTO NA COMPRA DE PRODUTOS</t>
  </si>
  <si>
    <t>PREÇO GASTO NA DIVULGAÇÃO</t>
  </si>
  <si>
    <t>PREÇO GASTO EM CONTAS</t>
  </si>
  <si>
    <t>PREÇO DO ALUGUEL DO LOCAL</t>
  </si>
  <si>
    <t>PREÇO GASTO EM ATRAÇÕES/FUNCIONÁRIOS</t>
  </si>
  <si>
    <t>TOTAL GASTO NO EVENTO:</t>
  </si>
  <si>
    <t>DINHEIRO GANHO COM INGRESSOS MASCULINO</t>
  </si>
  <si>
    <t>DINHEIRO GANHO COM INGRESSOS FEMININOS</t>
  </si>
  <si>
    <t>DINHEIRO GANHO COM BEBIDAS</t>
  </si>
  <si>
    <t>DINHEIRO GANHO COM COMIDA</t>
  </si>
  <si>
    <t>TOTAL DE GANHOS</t>
  </si>
  <si>
    <t>TOTAL DE GANHOS:</t>
  </si>
  <si>
    <t>CONTABILIDADE</t>
  </si>
  <si>
    <t>NOME DONO DO EVENTO</t>
  </si>
  <si>
    <t>ENDEREÇO DO EVENTO</t>
  </si>
  <si>
    <t>EMAIL DONO DO EVENTO</t>
  </si>
  <si>
    <t>CIDADE EVENTO</t>
  </si>
  <si>
    <t>ESTADO DO EVENTO</t>
  </si>
  <si>
    <t>TELEFONE DO EVENTO</t>
  </si>
  <si>
    <t>CALCULOS</t>
  </si>
  <si>
    <t xml:space="preserve"> CALCULO TOTAL DO DINHEIRO GASTO:</t>
  </si>
  <si>
    <t xml:space="preserve">              CALCULO  DO DINHEIRO GANHO NO EVENTO:</t>
  </si>
  <si>
    <t xml:space="preserve">                                                        NOME DONO DO EVENTO:</t>
  </si>
  <si>
    <t xml:space="preserve">                                                        NOME DO EVENTO:</t>
  </si>
  <si>
    <t xml:space="preserve">                                                        ENDEREÇO DO EVENTO:</t>
  </si>
  <si>
    <t xml:space="preserve">                                                        CIDADE:</t>
  </si>
  <si>
    <t xml:space="preserve">                                                        ESTADO:</t>
  </si>
  <si>
    <t xml:space="preserve">                                                       TELEFONE:</t>
  </si>
  <si>
    <r>
      <t xml:space="preserve">   </t>
    </r>
    <r>
      <rPr>
        <b/>
        <sz val="12"/>
        <color theme="1"/>
        <rFont val="Century Gothic"/>
        <family val="2"/>
      </rPr>
      <t>CALCULO TOTAL DO DINHEIRO LUCRADO NO EVENTO:</t>
    </r>
  </si>
  <si>
    <t xml:space="preserve">                  ORÇAMENTO PARA:</t>
  </si>
  <si>
    <r>
      <t xml:space="preserve">                                      </t>
    </r>
    <r>
      <rPr>
        <b/>
        <sz val="14"/>
        <color theme="8" tint="-0.249977111117893"/>
        <rFont val="Century Gothic"/>
        <family val="2"/>
      </rPr>
      <t>CALCULOS FEITOS</t>
    </r>
  </si>
  <si>
    <r>
      <t xml:space="preserve">                                               </t>
    </r>
    <r>
      <rPr>
        <b/>
        <sz val="14"/>
        <color theme="8" tint="-0.249977111117893"/>
        <rFont val="Century Gothic"/>
        <family val="2"/>
      </rPr>
      <t>VALOR:</t>
    </r>
  </si>
  <si>
    <t>CALCULAR GASTOS</t>
  </si>
  <si>
    <t>CALCULAR GANHOS</t>
  </si>
  <si>
    <t>PREENCHA AS INFORMAÇÕES NECESSARIAS NOS ESPAÇOS ACIMA</t>
  </si>
  <si>
    <t>CADASTRO DAS INFORMAÇÕES DO EVENTO</t>
  </si>
  <si>
    <r>
      <t xml:space="preserve">   </t>
    </r>
    <r>
      <rPr>
        <sz val="36"/>
        <color theme="1"/>
        <rFont val="Century Gothic"/>
        <family val="2"/>
      </rPr>
      <t xml:space="preserve"> </t>
    </r>
    <r>
      <rPr>
        <sz val="36"/>
        <color theme="8" tint="-0.249977111117893"/>
        <rFont val="Century Gothic"/>
        <family val="2"/>
      </rPr>
      <t>FATURA</t>
    </r>
  </si>
  <si>
    <r>
      <t xml:space="preserve">                                                                                 </t>
    </r>
    <r>
      <rPr>
        <b/>
        <sz val="11"/>
        <color theme="1"/>
        <rFont val="Century Gothic"/>
        <family val="2"/>
      </rPr>
      <t xml:space="preserve">     </t>
    </r>
    <r>
      <rPr>
        <b/>
        <sz val="18"/>
        <color theme="1"/>
        <rFont val="Century Gothic"/>
        <family val="2"/>
      </rPr>
      <t>DATA:</t>
    </r>
  </si>
  <si>
    <r>
      <t xml:space="preserve">                                                                           </t>
    </r>
    <r>
      <rPr>
        <sz val="14"/>
        <color theme="1"/>
        <rFont val="Calibri"/>
        <family val="2"/>
        <scheme val="minor"/>
      </rPr>
      <t xml:space="preserve"> N° DA FATURA:</t>
    </r>
  </si>
  <si>
    <t>4002-8922</t>
  </si>
  <si>
    <t>EVENTO@UHUL</t>
  </si>
  <si>
    <t>SEXTOU EVENTOS</t>
  </si>
  <si>
    <t>RUA IRINEU 453</t>
  </si>
  <si>
    <t>MAUÁ</t>
  </si>
  <si>
    <t>SÃO PAULO</t>
  </si>
  <si>
    <t xml:space="preserve">ANDRÉ ARAUJO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</si>
</sst>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R$&quot;* #,##0.00_);_(&quot;R$&quot;* \(#,##0.00\);_(&quot;R$&quot;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sz val="16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36"/>
      <color theme="8" tint="-0.249977111117893"/>
      <name val="Century Gothic"/>
      <family val="2"/>
    </font>
    <font>
      <b/>
      <sz val="14"/>
      <color theme="8" tint="-0.249977111117893"/>
      <name val="Century Gothic"/>
      <family val="2"/>
    </font>
    <font>
      <b/>
      <sz val="20"/>
      <color theme="8" tint="-0.249977111117893"/>
      <name val="Century Gothic"/>
      <family val="2"/>
    </font>
    <font>
      <b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36"/>
      <color theme="1"/>
      <name val="Century Gothic"/>
      <family val="2"/>
    </font>
    <font>
      <sz val="36"/>
      <color theme="0"/>
      <name val="Century Gothic"/>
      <family val="2"/>
    </font>
    <font>
      <sz val="28"/>
      <color theme="0"/>
      <name val="Century Gothic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6" applyNumberFormat="0" applyFont="0" applyFill="0" applyBorder="0" applyAlignment="0" applyProtection="0">
      <alignment horizontal="right"/>
    </xf>
    <xf numFmtId="0" fontId="25" fillId="0" borderId="0" applyNumberForma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0" xfId="0" applyAlignment="1">
      <alignment vertical="center"/>
    </xf>
    <xf numFmtId="14" fontId="0" fillId="0" borderId="2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14" fontId="21" fillId="4" borderId="2" xfId="0" applyNumberFormat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14" fontId="21" fillId="4" borderId="1" xfId="0" applyNumberFormat="1" applyFont="1" applyFill="1" applyBorder="1" applyAlignment="1">
      <alignment horizontal="center" vertical="center"/>
    </xf>
    <xf numFmtId="44" fontId="22" fillId="3" borderId="5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44" fontId="0" fillId="0" borderId="2" xfId="1" applyFont="1" applyBorder="1" applyAlignment="1">
      <alignment horizontal="center" vertical="center" wrapText="1"/>
    </xf>
    <xf numFmtId="44" fontId="0" fillId="0" borderId="2" xfId="1" applyFont="1" applyBorder="1" applyAlignment="1">
      <alignment vertical="center" wrapText="1"/>
    </xf>
    <xf numFmtId="44" fontId="0" fillId="0" borderId="1" xfId="1" applyFont="1" applyBorder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0" fontId="25" fillId="0" borderId="0" xfId="3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44" fontId="9" fillId="0" borderId="2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44" fontId="12" fillId="0" borderId="2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4">
    <cellStyle name="Estilo 1" xfId="2"/>
    <cellStyle name="Hiperlink" xfId="3" builtinId="8"/>
    <cellStyle name="Moeda" xfId="1" builtinId="4"/>
    <cellStyle name="Normal" xfId="0" builtinId="0"/>
  </cellStyles>
  <dxfs count="28"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INFORMA&#199;&#213;ES EVENTO'!A1"/><Relationship Id="rId1" Type="http://schemas.openxmlformats.org/officeDocument/2006/relationships/hyperlink" Target="#'CALCULAR GANHO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CALCULAR GASTOS'!A1"/><Relationship Id="rId1" Type="http://schemas.openxmlformats.org/officeDocument/2006/relationships/hyperlink" Target="#FATURA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INFORMA&#199;&#213;ES EVENTO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CALCULAR GANHOS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MENU INICIAL'!A1"/><Relationship Id="rId1" Type="http://schemas.openxmlformats.org/officeDocument/2006/relationships/hyperlink" Target="#'CALCULAR GAST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1333500</xdr:colOff>
      <xdr:row>6</xdr:row>
      <xdr:rowOff>95250</xdr:rowOff>
    </xdr:from>
    <xdr:to>
      <xdr:col>5</xdr:col>
      <xdr:colOff>1485900</xdr:colOff>
      <xdr:row>9</xdr:row>
      <xdr:rowOff>180975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969EDBE0-1CFF-4B04-B3CF-D937D765751C}"/>
            </a:ext>
          </a:extLst>
        </xdr:cNvPr>
        <xdr:cNvSpPr/>
      </xdr:nvSpPr>
      <xdr:spPr>
        <a:xfrm>
          <a:off x="8639175" y="2400300"/>
          <a:ext cx="1924050" cy="6572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CALCULAR GANHOS</a:t>
          </a:r>
        </a:p>
      </xdr:txBody>
    </xdr:sp>
    <xdr:clientData/>
  </xdr:twoCellAnchor>
  <xdr:twoCellAnchor>
    <xdr:from>
      <xdr:col>2</xdr:col>
      <xdr:colOff>676275</xdr:colOff>
      <xdr:row>7</xdr:row>
      <xdr:rowOff>9525</xdr:rowOff>
    </xdr:from>
    <xdr:to>
      <xdr:col>2</xdr:col>
      <xdr:colOff>2600325</xdr:colOff>
      <xdr:row>10</xdr:row>
      <xdr:rowOff>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879EEA2F-EF40-47D8-83F3-9A86DF06F667}"/>
            </a:ext>
          </a:extLst>
        </xdr:cNvPr>
        <xdr:cNvSpPr/>
      </xdr:nvSpPr>
      <xdr:spPr>
        <a:xfrm>
          <a:off x="3228975" y="2505075"/>
          <a:ext cx="1924050" cy="561975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VOLTAR </a:t>
          </a:r>
        </a:p>
      </xdr:txBody>
    </xdr:sp>
    <xdr:clientData/>
  </xdr:twoCellAnchor>
  <xdr:twoCellAnchor>
    <xdr:from>
      <xdr:col>5</xdr:col>
      <xdr:colOff>762000</xdr:colOff>
      <xdr:row>2</xdr:row>
      <xdr:rowOff>104775</xdr:rowOff>
    </xdr:from>
    <xdr:to>
      <xdr:col>6</xdr:col>
      <xdr:colOff>581025</xdr:colOff>
      <xdr:row>2</xdr:row>
      <xdr:rowOff>704850</xdr:rowOff>
    </xdr:to>
    <xdr:sp macro="[0]!LIMPAR" textlink="">
      <xdr:nvSpPr>
        <xdr:cNvPr id="4" name="Retângulo de cantos arredondados 3"/>
        <xdr:cNvSpPr/>
      </xdr:nvSpPr>
      <xdr:spPr>
        <a:xfrm>
          <a:off x="9839325" y="1104900"/>
          <a:ext cx="1819275" cy="60007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LIMPAR</a:t>
          </a:r>
          <a:r>
            <a:rPr lang="pt-BR" sz="1600" b="1" baseline="0">
              <a:solidFill>
                <a:schemeClr val="bg1"/>
              </a:solidFill>
            </a:rPr>
            <a:t> TABELA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1600200</xdr:colOff>
      <xdr:row>2</xdr:row>
      <xdr:rowOff>66675</xdr:rowOff>
    </xdr:from>
    <xdr:to>
      <xdr:col>4</xdr:col>
      <xdr:colOff>1571625</xdr:colOff>
      <xdr:row>3</xdr:row>
      <xdr:rowOff>19050</xdr:rowOff>
    </xdr:to>
    <xdr:sp macro="[0]!FORMULARIO" textlink="">
      <xdr:nvSpPr>
        <xdr:cNvPr id="5" name="Retângulo de cantos arredondados 4"/>
        <xdr:cNvSpPr/>
      </xdr:nvSpPr>
      <xdr:spPr>
        <a:xfrm>
          <a:off x="6829425" y="1066800"/>
          <a:ext cx="2047875" cy="6858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ABRIR</a:t>
          </a:r>
          <a:r>
            <a:rPr lang="pt-BR" sz="1600" b="1" baseline="0">
              <a:solidFill>
                <a:schemeClr val="bg1"/>
              </a:solidFill>
            </a:rPr>
            <a:t> FORMULARIO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2962275</xdr:colOff>
      <xdr:row>7</xdr:row>
      <xdr:rowOff>142875</xdr:rowOff>
    </xdr:from>
    <xdr:to>
      <xdr:col>4</xdr:col>
      <xdr:colOff>1876425</xdr:colOff>
      <xdr:row>11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2163F57E-C332-4E54-90C6-CE17353ADE29}"/>
            </a:ext>
          </a:extLst>
        </xdr:cNvPr>
        <xdr:cNvSpPr/>
      </xdr:nvSpPr>
      <xdr:spPr>
        <a:xfrm>
          <a:off x="8572500" y="2638425"/>
          <a:ext cx="1924050" cy="6572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GERAR</a:t>
          </a:r>
          <a:r>
            <a:rPr lang="pt-BR" sz="1600" b="1" baseline="0"/>
            <a:t> FOLHA DE FATURA</a:t>
          </a:r>
          <a:endParaRPr lang="pt-BR" sz="1600" b="1"/>
        </a:p>
      </xdr:txBody>
    </xdr:sp>
    <xdr:clientData/>
  </xdr:twoCellAnchor>
  <xdr:twoCellAnchor>
    <xdr:from>
      <xdr:col>1</xdr:col>
      <xdr:colOff>1019175</xdr:colOff>
      <xdr:row>7</xdr:row>
      <xdr:rowOff>161925</xdr:rowOff>
    </xdr:from>
    <xdr:to>
      <xdr:col>2</xdr:col>
      <xdr:colOff>1695450</xdr:colOff>
      <xdr:row>10</xdr:row>
      <xdr:rowOff>152400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20AC917F-3933-43F8-A8DF-B141D721985F}"/>
            </a:ext>
          </a:extLst>
        </xdr:cNvPr>
        <xdr:cNvSpPr/>
      </xdr:nvSpPr>
      <xdr:spPr>
        <a:xfrm>
          <a:off x="2324100" y="2657475"/>
          <a:ext cx="1924050" cy="561975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VOLTAR </a:t>
          </a:r>
        </a:p>
      </xdr:txBody>
    </xdr:sp>
    <xdr:clientData/>
  </xdr:twoCellAnchor>
  <xdr:twoCellAnchor>
    <xdr:from>
      <xdr:col>4</xdr:col>
      <xdr:colOff>800100</xdr:colOff>
      <xdr:row>3</xdr:row>
      <xdr:rowOff>76200</xdr:rowOff>
    </xdr:from>
    <xdr:to>
      <xdr:col>5</xdr:col>
      <xdr:colOff>371475</xdr:colOff>
      <xdr:row>3</xdr:row>
      <xdr:rowOff>685800</xdr:rowOff>
    </xdr:to>
    <xdr:sp macro="[0]!LIMPAR_2" textlink="">
      <xdr:nvSpPr>
        <xdr:cNvPr id="4" name="Retângulo de cantos arredondados 3"/>
        <xdr:cNvSpPr/>
      </xdr:nvSpPr>
      <xdr:spPr>
        <a:xfrm>
          <a:off x="9420225" y="1276350"/>
          <a:ext cx="1695450" cy="6096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LIMPAR TABELA</a:t>
          </a:r>
        </a:p>
      </xdr:txBody>
    </xdr:sp>
    <xdr:clientData/>
  </xdr:twoCellAnchor>
  <xdr:twoCellAnchor>
    <xdr:from>
      <xdr:col>3</xdr:col>
      <xdr:colOff>1009650</xdr:colOff>
      <xdr:row>3</xdr:row>
      <xdr:rowOff>76200</xdr:rowOff>
    </xdr:from>
    <xdr:to>
      <xdr:col>4</xdr:col>
      <xdr:colOff>28575</xdr:colOff>
      <xdr:row>3</xdr:row>
      <xdr:rowOff>704850</xdr:rowOff>
    </xdr:to>
    <xdr:sp macro="[0]!FORMU" textlink="">
      <xdr:nvSpPr>
        <xdr:cNvPr id="5" name="Retângulo de cantos arredondados 4"/>
        <xdr:cNvSpPr/>
      </xdr:nvSpPr>
      <xdr:spPr>
        <a:xfrm>
          <a:off x="6619875" y="1276350"/>
          <a:ext cx="2028825" cy="6286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ABRIR</a:t>
          </a:r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FORMULARIO</a:t>
          </a:r>
          <a:endParaRPr lang="pt-BR" sz="1600">
            <a:effectLst/>
          </a:endParaRP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8</xdr:row>
      <xdr:rowOff>123825</xdr:rowOff>
    </xdr:from>
    <xdr:to>
      <xdr:col>11</xdr:col>
      <xdr:colOff>38100</xdr:colOff>
      <xdr:row>13</xdr:row>
      <xdr:rowOff>180975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7EAAFCE-E08E-4801-B35A-55F5DC834B11}"/>
            </a:ext>
          </a:extLst>
        </xdr:cNvPr>
        <xdr:cNvSpPr/>
      </xdr:nvSpPr>
      <xdr:spPr>
        <a:xfrm>
          <a:off x="4895850" y="1647825"/>
          <a:ext cx="1847850" cy="10096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 COMEÇAR COM</a:t>
          </a:r>
          <a:r>
            <a:rPr lang="pt-BR" sz="1600" b="1" baseline="0"/>
            <a:t> AS INFORMAÇÕES DO EVENTO</a:t>
          </a:r>
          <a:endParaRPr lang="pt-BR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88282</xdr:colOff>
      <xdr:row>12</xdr:row>
      <xdr:rowOff>5345</xdr:rowOff>
    </xdr:from>
    <xdr:to>
      <xdr:col>7</xdr:col>
      <xdr:colOff>23232</xdr:colOff>
      <xdr:row>14</xdr:row>
      <xdr:rowOff>110119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9741056" y="3861808"/>
          <a:ext cx="1142999" cy="499713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2524125</xdr:colOff>
      <xdr:row>0</xdr:row>
      <xdr:rowOff>628650</xdr:rowOff>
    </xdr:from>
    <xdr:to>
      <xdr:col>3</xdr:col>
      <xdr:colOff>3905250</xdr:colOff>
      <xdr:row>0</xdr:row>
      <xdr:rowOff>638175</xdr:rowOff>
    </xdr:to>
    <xdr:cxnSp macro="">
      <xdr:nvCxnSpPr>
        <xdr:cNvPr id="4" name="Conector reto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2743200" y="628650"/>
          <a:ext cx="9458325" cy="9525"/>
        </a:xfrm>
        <a:prstGeom prst="line">
          <a:avLst/>
        </a:prstGeom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</xdr:colOff>
      <xdr:row>4</xdr:row>
      <xdr:rowOff>285750</xdr:rowOff>
    </xdr:from>
    <xdr:to>
      <xdr:col>2</xdr:col>
      <xdr:colOff>2028825</xdr:colOff>
      <xdr:row>4</xdr:row>
      <xdr:rowOff>295275</xdr:rowOff>
    </xdr:to>
    <xdr:cxnSp macro="">
      <xdr:nvCxnSpPr>
        <xdr:cNvPr id="7" name="Conector reto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238125" y="2105025"/>
          <a:ext cx="6457950" cy="9525"/>
        </a:xfrm>
        <a:prstGeom prst="line">
          <a:avLst/>
        </a:prstGeom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2381250</xdr:colOff>
      <xdr:row>12</xdr:row>
      <xdr:rowOff>257175</xdr:rowOff>
    </xdr:from>
    <xdr:to>
      <xdr:col>3</xdr:col>
      <xdr:colOff>800100</xdr:colOff>
      <xdr:row>12</xdr:row>
      <xdr:rowOff>257175</xdr:rowOff>
    </xdr:to>
    <xdr:cxnSp macro="">
      <xdr:nvCxnSpPr>
        <xdr:cNvPr id="9" name="Conector reto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600325" y="3762375"/>
          <a:ext cx="64960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2266950</xdr:colOff>
      <xdr:row>12</xdr:row>
      <xdr:rowOff>266700</xdr:rowOff>
    </xdr:from>
    <xdr:to>
      <xdr:col>3</xdr:col>
      <xdr:colOff>838200</xdr:colOff>
      <xdr:row>13</xdr:row>
      <xdr:rowOff>0</xdr:rowOff>
    </xdr:to>
    <xdr:cxnSp macro="">
      <xdr:nvCxnSpPr>
        <xdr:cNvPr id="12" name="Conector reto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2486025" y="3771900"/>
          <a:ext cx="6648450" cy="9525"/>
        </a:xfrm>
        <a:prstGeom prst="line">
          <a:avLst/>
        </a:prstGeom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47625</xdr:rowOff>
        </xdr:from>
        <xdr:to>
          <xdr:col>7</xdr:col>
          <xdr:colOff>247650</xdr:colOff>
          <xdr:row>17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</xdr:colOff>
      <xdr:row>6</xdr:row>
      <xdr:rowOff>85726</xdr:rowOff>
    </xdr:from>
    <xdr:to>
      <xdr:col>5</xdr:col>
      <xdr:colOff>1895474</xdr:colOff>
      <xdr:row>10</xdr:row>
      <xdr:rowOff>57150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8315324" y="2362201"/>
          <a:ext cx="1819275" cy="73342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CALCULAR GASTOS</a:t>
          </a:r>
        </a:p>
      </xdr:txBody>
    </xdr:sp>
    <xdr:clientData/>
  </xdr:twoCellAnchor>
  <xdr:twoCellAnchor>
    <xdr:from>
      <xdr:col>1</xdr:col>
      <xdr:colOff>714375</xdr:colOff>
      <xdr:row>6</xdr:row>
      <xdr:rowOff>76200</xdr:rowOff>
    </xdr:from>
    <xdr:to>
      <xdr:col>2</xdr:col>
      <xdr:colOff>628650</xdr:colOff>
      <xdr:row>10</xdr:row>
      <xdr:rowOff>47624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2419350" y="2352675"/>
          <a:ext cx="1819275" cy="733424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VOLTAR AO MENU INICIAL</a:t>
          </a:r>
        </a:p>
      </xdr:txBody>
    </xdr:sp>
    <xdr:clientData/>
  </xdr:twoCellAnchor>
  <xdr:twoCellAnchor>
    <xdr:from>
      <xdr:col>0</xdr:col>
      <xdr:colOff>0</xdr:colOff>
      <xdr:row>3</xdr:row>
      <xdr:rowOff>304800</xdr:rowOff>
    </xdr:from>
    <xdr:to>
      <xdr:col>3</xdr:col>
      <xdr:colOff>409575</xdr:colOff>
      <xdr:row>3</xdr:row>
      <xdr:rowOff>323850</xdr:rowOff>
    </xdr:to>
    <xdr:cxnSp macro="">
      <xdr:nvCxnSpPr>
        <xdr:cNvPr id="5" name="Conector reto 4"/>
        <xdr:cNvCxnSpPr/>
      </xdr:nvCxnSpPr>
      <xdr:spPr>
        <a:xfrm>
          <a:off x="0" y="1828800"/>
          <a:ext cx="5715000" cy="19050"/>
        </a:xfrm>
        <a:prstGeom prst="line">
          <a:avLst/>
        </a:prstGeom>
        <a:ln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1590675</xdr:colOff>
      <xdr:row>2</xdr:row>
      <xdr:rowOff>47625</xdr:rowOff>
    </xdr:from>
    <xdr:to>
      <xdr:col>7</xdr:col>
      <xdr:colOff>485775</xdr:colOff>
      <xdr:row>4</xdr:row>
      <xdr:rowOff>142875</xdr:rowOff>
    </xdr:to>
    <xdr:sp macro="[0]!LIMPAR_INFORMAÇOES" textlink="">
      <xdr:nvSpPr>
        <xdr:cNvPr id="4" name="Retângulo de cantos arredondados 3"/>
        <xdr:cNvSpPr/>
      </xdr:nvSpPr>
      <xdr:spPr>
        <a:xfrm>
          <a:off x="9829800" y="1381125"/>
          <a:ext cx="1971675" cy="657225"/>
        </a:xfrm>
        <a:prstGeom prst="roundRect">
          <a:avLst/>
        </a:prstGeom>
        <a:solidFill>
          <a:schemeClr val="tx2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LIMPAR</a:t>
          </a:r>
          <a:r>
            <a:rPr lang="pt-BR" sz="1600" b="1" baseline="0">
              <a:solidFill>
                <a:schemeClr val="bg1"/>
              </a:solidFill>
            </a:rPr>
            <a:t> TABELA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47625</xdr:colOff>
      <xdr:row>2</xdr:row>
      <xdr:rowOff>66675</xdr:rowOff>
    </xdr:from>
    <xdr:to>
      <xdr:col>5</xdr:col>
      <xdr:colOff>457200</xdr:colOff>
      <xdr:row>4</xdr:row>
      <xdr:rowOff>123825</xdr:rowOff>
    </xdr:to>
    <xdr:sp macro="[0]!FORMULATIONS" textlink="">
      <xdr:nvSpPr>
        <xdr:cNvPr id="6" name="Retângulo de cantos arredondados 5"/>
        <xdr:cNvSpPr/>
      </xdr:nvSpPr>
      <xdr:spPr>
        <a:xfrm>
          <a:off x="6791325" y="1400175"/>
          <a:ext cx="1905000" cy="6191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ABRIR</a:t>
          </a:r>
          <a:r>
            <a:rPr lang="pt-BR" sz="1400" b="1" baseline="0"/>
            <a:t> FORMULARIO</a:t>
          </a:r>
          <a:endParaRPr lang="pt-BR" sz="1400" b="1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a2" displayName="Tabela2" ref="A1:G2" totalsRowShown="0" headerRowDxfId="27" headerRowBorderDxfId="26">
  <autoFilter ref="A1:G2"/>
  <tableColumns count="7">
    <tableColumn id="1" name="NOME DO EVENTO" dataDxfId="25">
      <calculatedColumnFormula xml:space="preserve"> Tabela4[NOME DO EVENTO]</calculatedColumnFormula>
    </tableColumn>
    <tableColumn id="2" name="DATA DO EVENTO" dataDxfId="24">
      <calculatedColumnFormula>Tabela4[DATA DO EVENTO]</calculatedColumnFormula>
    </tableColumn>
    <tableColumn id="3" name="PREÇO GASTO NA COMPRA DE PRODUTOS" dataDxfId="23" dataCellStyle="Moeda"/>
    <tableColumn id="4" name="PREÇO GASTO NA DIVULGAÇÃO" dataDxfId="22" dataCellStyle="Moeda"/>
    <tableColumn id="5" name="PREÇO GASTO EM CONTAS" dataDxfId="21" dataCellStyle="Moeda"/>
    <tableColumn id="6" name="PREÇO DO ALUGUEL DO LOCAL" dataDxfId="20" dataCellStyle="Moeda"/>
    <tableColumn id="7" name="PREÇO GASTO EM ATRAÇÕES/FUNCIONÁRIOS" dataDxfId="19" dataCellStyle="Mo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1:F3" totalsRowShown="0" headerRowDxfId="18">
  <autoFilter ref="A1:F3">
    <filterColumn colId="1">
      <customFilters>
        <customFilter operator="notEqual" val=" "/>
      </customFilters>
    </filterColumn>
  </autoFilter>
  <tableColumns count="6">
    <tableColumn id="1" name="NOME DO EVENTO" dataDxfId="17">
      <calculatedColumnFormula>Tabela2[NOME DO EVENTO]</calculatedColumnFormula>
    </tableColumn>
    <tableColumn id="2" name="DATA DO EVENTO" dataDxfId="16">
      <calculatedColumnFormula>Tabela2[DATA DO EVENTO]</calculatedColumnFormula>
    </tableColumn>
    <tableColumn id="3" name="DINHEIRO GANHO COM INGRESSOS MASCULINO" dataDxfId="15"/>
    <tableColumn id="4" name="DINHEIRO GANHO COM INGRESSOS FEMININOS" dataDxfId="14"/>
    <tableColumn id="5" name="DINHEIRO GANHO COM BEBIDAS" dataDxfId="13"/>
    <tableColumn id="6" name="DINHEIRO GANHO COM COMIDA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a4" displayName="Tabela4" ref="A1:H2" totalsRowShown="0" headerRowDxfId="11" headerRowBorderDxfId="10" tableBorderDxfId="9" totalsRowBorderDxfId="8">
  <autoFilter ref="A1:H2"/>
  <tableColumns count="8">
    <tableColumn id="1" name="NOME DONO DO EVENTO" dataDxfId="7"/>
    <tableColumn id="2" name="TELEFONE DO EVENTO" dataDxfId="6"/>
    <tableColumn id="3" name="EMAIL DONO DO EVENTO" dataDxfId="5" dataCellStyle="Hiperlink"/>
    <tableColumn id="4" name="NOME DO EVENTO" dataDxfId="4"/>
    <tableColumn id="5" name="DATA DO EVENTO" dataDxfId="3"/>
    <tableColumn id="6" name="ENDEREÇO DO EVENTO" dataDxfId="2"/>
    <tableColumn id="7" name="CIDADE EVENTO" dataDxfId="1"/>
    <tableColumn id="8" name="ESTADO DO EVEN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hyperlink" Target="mailto:EVENTO@UHU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17"/>
  <sheetViews>
    <sheetView workbookViewId="0">
      <selection activeCell="C2" sqref="C2:G2"/>
    </sheetView>
  </sheetViews>
  <sheetFormatPr defaultRowHeight="15" x14ac:dyDescent="0.25"/>
  <cols>
    <col min="1" max="1" width="19.5703125" customWidth="1"/>
    <col min="2" max="2" width="18.7109375" customWidth="1"/>
    <col min="3" max="3" width="40.140625" customWidth="1"/>
    <col min="4" max="4" width="31.140625" customWidth="1"/>
    <col min="5" max="5" width="26.5703125" customWidth="1"/>
    <col min="6" max="6" width="30" customWidth="1"/>
    <col min="7" max="7" width="43.28515625" customWidth="1"/>
  </cols>
  <sheetData>
    <row r="1" spans="1:7" ht="39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10" t="s">
        <v>6</v>
      </c>
    </row>
    <row r="2" spans="1:7" ht="39.75" customHeight="1" thickBot="1" x14ac:dyDescent="0.3">
      <c r="A2" s="11" t="str">
        <f xml:space="preserve"> Tabela4[NOME DO EVENTO]</f>
        <v>SEXTOU EVENTOS</v>
      </c>
      <c r="B2" s="12">
        <f>Tabela4[DATA DO EVENTO]</f>
        <v>43741</v>
      </c>
      <c r="C2" s="27">
        <v>10</v>
      </c>
      <c r="D2" s="27">
        <v>10</v>
      </c>
      <c r="E2" s="28">
        <v>10</v>
      </c>
      <c r="F2" s="27">
        <v>10</v>
      </c>
      <c r="G2" s="27">
        <v>10</v>
      </c>
    </row>
    <row r="3" spans="1:7" ht="57.75" customHeight="1" thickBot="1" x14ac:dyDescent="0.3">
      <c r="A3" s="34" t="s">
        <v>7</v>
      </c>
      <c r="B3" s="35"/>
      <c r="C3" s="15">
        <f>SUM(Tabela2[[PREÇO GASTO NA COMPRA DE PRODUTOS]:[PREÇO GASTO EM ATRAÇÕES/FUNCIONÁRIOS]])</f>
        <v>50</v>
      </c>
    </row>
    <row r="4" spans="1:7" x14ac:dyDescent="0.25">
      <c r="B4" s="1"/>
    </row>
    <row r="12" spans="1:7" x14ac:dyDescent="0.25">
      <c r="A12" s="36" t="s">
        <v>34</v>
      </c>
      <c r="B12" s="37"/>
      <c r="C12" s="37"/>
      <c r="D12" s="37"/>
      <c r="E12" s="37"/>
      <c r="F12" s="37"/>
      <c r="G12" s="37"/>
    </row>
    <row r="13" spans="1:7" x14ac:dyDescent="0.25">
      <c r="A13" s="37"/>
      <c r="B13" s="37"/>
      <c r="C13" s="37"/>
      <c r="D13" s="37"/>
      <c r="E13" s="37"/>
      <c r="F13" s="37"/>
      <c r="G13" s="37"/>
    </row>
    <row r="14" spans="1:7" x14ac:dyDescent="0.25">
      <c r="A14" s="37"/>
      <c r="B14" s="37"/>
      <c r="C14" s="37"/>
      <c r="D14" s="37"/>
      <c r="E14" s="37"/>
      <c r="F14" s="37"/>
      <c r="G14" s="37"/>
    </row>
    <row r="15" spans="1:7" x14ac:dyDescent="0.25">
      <c r="A15" s="37"/>
      <c r="B15" s="37"/>
      <c r="C15" s="37"/>
      <c r="D15" s="37"/>
      <c r="E15" s="37"/>
      <c r="F15" s="37"/>
      <c r="G15" s="37"/>
    </row>
    <row r="16" spans="1:7" x14ac:dyDescent="0.25">
      <c r="A16" s="37"/>
      <c r="B16" s="37"/>
      <c r="C16" s="37"/>
      <c r="D16" s="37"/>
      <c r="E16" s="37"/>
      <c r="F16" s="37"/>
      <c r="G16" s="37"/>
    </row>
    <row r="17" spans="1:7" x14ac:dyDescent="0.25">
      <c r="A17" s="37"/>
      <c r="B17" s="37"/>
      <c r="C17" s="37"/>
      <c r="D17" s="37"/>
      <c r="E17" s="37"/>
      <c r="F17" s="37"/>
      <c r="G17" s="37"/>
    </row>
  </sheetData>
  <mergeCells count="2">
    <mergeCell ref="A3:B3"/>
    <mergeCell ref="A12:G17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9"/>
  <sheetViews>
    <sheetView zoomScale="90" zoomScaleNormal="90" workbookViewId="0"/>
  </sheetViews>
  <sheetFormatPr defaultRowHeight="15" x14ac:dyDescent="0.25"/>
  <cols>
    <col min="1" max="1" width="19.5703125" customWidth="1"/>
    <col min="2" max="2" width="18.7109375" customWidth="1"/>
    <col min="3" max="3" width="45.85546875" customWidth="1"/>
    <col min="4" max="4" width="45.140625" customWidth="1"/>
    <col min="5" max="5" width="31.85546875" customWidth="1"/>
    <col min="6" max="6" width="32" customWidth="1"/>
  </cols>
  <sheetData>
    <row r="1" spans="1:6" ht="48.75" customHeight="1" x14ac:dyDescent="0.25">
      <c r="A1" s="6" t="s">
        <v>0</v>
      </c>
      <c r="B1" s="6" t="s">
        <v>1</v>
      </c>
      <c r="C1" s="6" t="s">
        <v>8</v>
      </c>
      <c r="D1" s="6" t="s">
        <v>9</v>
      </c>
      <c r="E1" s="6" t="s">
        <v>10</v>
      </c>
      <c r="F1" s="6" t="s">
        <v>11</v>
      </c>
    </row>
    <row r="2" spans="1:6" ht="45.75" customHeight="1" thickBot="1" x14ac:dyDescent="0.3">
      <c r="A2" s="13" t="str">
        <f>Tabela2[NOME DO EVENTO]</f>
        <v>SEXTOU EVENTOS</v>
      </c>
      <c r="B2" s="14">
        <f>Tabela2[DATA DO EVENTO]</f>
        <v>43741</v>
      </c>
      <c r="C2" s="29">
        <v>1000</v>
      </c>
      <c r="D2" s="29">
        <v>2</v>
      </c>
      <c r="E2" s="29">
        <v>2</v>
      </c>
      <c r="F2" s="29">
        <v>2</v>
      </c>
    </row>
    <row r="3" spans="1:6" hidden="1" x14ac:dyDescent="0.25">
      <c r="A3" s="2" t="s">
        <v>12</v>
      </c>
      <c r="B3" s="4">
        <f>Tabela2[DATA DO EVENTO]</f>
        <v>43741</v>
      </c>
      <c r="C3" s="2"/>
      <c r="D3" s="2"/>
      <c r="E3" s="2"/>
      <c r="F3" s="2"/>
    </row>
    <row r="4" spans="1:6" ht="57" customHeight="1" thickBot="1" x14ac:dyDescent="0.3">
      <c r="A4" s="38" t="s">
        <v>13</v>
      </c>
      <c r="B4" s="39"/>
      <c r="C4" s="15">
        <f>SUM(C2:F2)</f>
        <v>1006</v>
      </c>
      <c r="D4" s="3"/>
      <c r="E4" s="3"/>
      <c r="F4" s="3"/>
    </row>
    <row r="13" spans="1:6" x14ac:dyDescent="0.25">
      <c r="A13" s="36" t="s">
        <v>35</v>
      </c>
      <c r="B13" s="37"/>
      <c r="C13" s="37"/>
      <c r="D13" s="37"/>
      <c r="E13" s="37"/>
      <c r="F13" s="37"/>
    </row>
    <row r="14" spans="1:6" x14ac:dyDescent="0.25">
      <c r="A14" s="37"/>
      <c r="B14" s="37"/>
      <c r="C14" s="37"/>
      <c r="D14" s="37"/>
      <c r="E14" s="37"/>
      <c r="F14" s="37"/>
    </row>
    <row r="15" spans="1:6" x14ac:dyDescent="0.25">
      <c r="A15" s="37"/>
      <c r="B15" s="37"/>
      <c r="C15" s="37"/>
      <c r="D15" s="37"/>
      <c r="E15" s="37"/>
      <c r="F15" s="37"/>
    </row>
    <row r="16" spans="1:6" x14ac:dyDescent="0.25">
      <c r="A16" s="37"/>
      <c r="B16" s="37"/>
      <c r="C16" s="37"/>
      <c r="D16" s="37"/>
      <c r="E16" s="37"/>
      <c r="F16" s="37"/>
    </row>
    <row r="17" spans="1:6" x14ac:dyDescent="0.25">
      <c r="A17" s="37"/>
      <c r="B17" s="37"/>
      <c r="C17" s="37"/>
      <c r="D17" s="37"/>
      <c r="E17" s="37"/>
      <c r="F17" s="37"/>
    </row>
    <row r="18" spans="1:6" ht="0.75" customHeight="1" x14ac:dyDescent="0.25">
      <c r="A18" s="37"/>
      <c r="B18" s="37"/>
      <c r="C18" s="37"/>
      <c r="D18" s="37"/>
      <c r="E18" s="37"/>
      <c r="F18" s="37"/>
    </row>
    <row r="19" spans="1:6" x14ac:dyDescent="0.25">
      <c r="A19" s="37"/>
      <c r="B19" s="37"/>
      <c r="C19" s="37"/>
      <c r="D19" s="37"/>
      <c r="E19" s="37"/>
      <c r="F19" s="37"/>
    </row>
  </sheetData>
  <mergeCells count="2">
    <mergeCell ref="A4:B4"/>
    <mergeCell ref="A13:F19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T34"/>
  <sheetViews>
    <sheetView showGridLines="0" showRowColHeaders="0" workbookViewId="0">
      <selection sqref="A1:XFD5"/>
    </sheetView>
  </sheetViews>
  <sheetFormatPr defaultColWidth="0" defaultRowHeight="15" zeroHeight="1" x14ac:dyDescent="0.25"/>
  <cols>
    <col min="1" max="20" width="9.140625" style="42" customWidth="1"/>
    <col min="21" max="16384" width="9.140625" hidden="1"/>
  </cols>
  <sheetData>
    <row r="1" spans="1:14" s="41" customFormat="1" x14ac:dyDescent="0.25">
      <c r="A1" s="40" t="s">
        <v>14</v>
      </c>
    </row>
    <row r="2" spans="1:14" s="41" customFormat="1" x14ac:dyDescent="0.25"/>
    <row r="3" spans="1:14" s="41" customFormat="1" x14ac:dyDescent="0.25"/>
    <row r="4" spans="1:14" s="41" customFormat="1" x14ac:dyDescent="0.25"/>
    <row r="5" spans="1:14" s="41" customFormat="1" x14ac:dyDescent="0.25"/>
    <row r="6" spans="1:14" customFormat="1" x14ac:dyDescent="0.25"/>
    <row r="7" spans="1:14" customFormat="1" x14ac:dyDescent="0.25"/>
    <row r="8" spans="1:14" customFormat="1" x14ac:dyDescent="0.25">
      <c r="N8" s="5"/>
    </row>
    <row r="9" spans="1:14" customFormat="1" x14ac:dyDescent="0.25"/>
    <row r="10" spans="1:14" customFormat="1" x14ac:dyDescent="0.25"/>
    <row r="11" spans="1:14" customFormat="1" x14ac:dyDescent="0.25"/>
    <row r="12" spans="1:14" customFormat="1" x14ac:dyDescent="0.25"/>
    <row r="13" spans="1:14" customFormat="1" x14ac:dyDescent="0.25"/>
    <row r="14" spans="1:14" customFormat="1" x14ac:dyDescent="0.25"/>
    <row r="15" spans="1:14" customFormat="1" x14ac:dyDescent="0.25"/>
    <row r="16" spans="1:14" customFormat="1" x14ac:dyDescent="0.25"/>
    <row r="17" spans="1:20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x14ac:dyDescent="0.25"/>
    <row r="21" spans="1:20" x14ac:dyDescent="0.25"/>
    <row r="22" spans="1:20" x14ac:dyDescent="0.25"/>
    <row r="23" spans="1:20" hidden="1" x14ac:dyDescent="0.25"/>
    <row r="24" spans="1:20" hidden="1" x14ac:dyDescent="0.25"/>
    <row r="25" spans="1:20" hidden="1" x14ac:dyDescent="0.25"/>
    <row r="26" spans="1:20" hidden="1" x14ac:dyDescent="0.25"/>
    <row r="27" spans="1:20" hidden="1" x14ac:dyDescent="0.25"/>
    <row r="28" spans="1:20" hidden="1" x14ac:dyDescent="0.25"/>
    <row r="29" spans="1:20" hidden="1" x14ac:dyDescent="0.25"/>
    <row r="30" spans="1:20" hidden="1" x14ac:dyDescent="0.25"/>
    <row r="31" spans="1:20" hidden="1" x14ac:dyDescent="0.25"/>
    <row r="32" spans="1:20" hidden="1" x14ac:dyDescent="0.25"/>
    <row r="33" hidden="1" x14ac:dyDescent="0.25"/>
    <row r="34" hidden="1" x14ac:dyDescent="0.25"/>
  </sheetData>
  <mergeCells count="2">
    <mergeCell ref="A1:XFD5"/>
    <mergeCell ref="A20:T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D21"/>
  <sheetViews>
    <sheetView showGridLines="0" tabSelected="1" zoomScale="70" zoomScaleNormal="70" workbookViewId="0">
      <selection sqref="A1:D21"/>
    </sheetView>
  </sheetViews>
  <sheetFormatPr defaultRowHeight="15" x14ac:dyDescent="0.25"/>
  <cols>
    <col min="1" max="1" width="1.140625" customWidth="1"/>
    <col min="2" max="2" width="56.7109375" customWidth="1"/>
    <col min="3" max="3" width="56.85546875" customWidth="1"/>
    <col min="4" max="4" width="20.85546875" customWidth="1"/>
  </cols>
  <sheetData>
    <row r="1" spans="1:4" ht="52.5" customHeight="1" x14ac:dyDescent="0.25">
      <c r="A1" s="43" t="s">
        <v>38</v>
      </c>
      <c r="B1" s="44"/>
      <c r="C1" s="44"/>
      <c r="D1" s="44"/>
    </row>
    <row r="2" spans="1:4" ht="37.5" customHeight="1" x14ac:dyDescent="0.25">
      <c r="A2" s="3"/>
      <c r="B2" s="33" t="str">
        <f>Tabela4[NOME DO EVENTO]</f>
        <v>SEXTOU EVENTOS</v>
      </c>
      <c r="C2" s="19" t="s">
        <v>39</v>
      </c>
      <c r="D2" s="17">
        <f>Tabela4[[#This Row],[DATA DO EVENTO]]</f>
        <v>43741</v>
      </c>
    </row>
    <row r="3" spans="1:4" ht="27.75" customHeight="1" x14ac:dyDescent="0.25">
      <c r="A3" s="3"/>
      <c r="B3" s="3"/>
      <c r="C3" s="16" t="s">
        <v>40</v>
      </c>
      <c r="D3" s="18">
        <v>1</v>
      </c>
    </row>
    <row r="4" spans="1:4" ht="25.5" customHeight="1" x14ac:dyDescent="0.25">
      <c r="A4" s="3"/>
      <c r="B4" s="3"/>
      <c r="C4" s="3"/>
      <c r="D4" s="3"/>
    </row>
    <row r="5" spans="1:4" ht="20.25" customHeight="1" x14ac:dyDescent="0.25">
      <c r="A5" s="3"/>
      <c r="B5" s="20" t="s">
        <v>31</v>
      </c>
      <c r="C5" s="3"/>
      <c r="D5" s="3"/>
    </row>
    <row r="6" spans="1:4" ht="25.5" customHeight="1" x14ac:dyDescent="0.25">
      <c r="A6" s="3"/>
      <c r="B6" s="21" t="s">
        <v>24</v>
      </c>
      <c r="C6" s="31" t="str">
        <f>Tabela4[NOME DONO DO EVENTO]</f>
        <v xml:space="preserve">ANDRÉ ARAUJO </v>
      </c>
      <c r="D6" s="3"/>
    </row>
    <row r="7" spans="1:4" ht="16.5" x14ac:dyDescent="0.25">
      <c r="A7" s="3"/>
      <c r="B7" s="30" t="s">
        <v>25</v>
      </c>
      <c r="C7" s="31" t="str">
        <f>Tabela4[NOME DO EVENTO]</f>
        <v>SEXTOU EVENTOS</v>
      </c>
      <c r="D7" s="3"/>
    </row>
    <row r="8" spans="1:4" ht="16.5" x14ac:dyDescent="0.25">
      <c r="A8" s="3"/>
      <c r="B8" s="21" t="s">
        <v>26</v>
      </c>
      <c r="C8" s="31" t="str">
        <f>Tabela4[ENDEREÇO DO EVENTO]</f>
        <v>RUA IRINEU 453</v>
      </c>
      <c r="D8" s="3"/>
    </row>
    <row r="9" spans="1:4" ht="16.5" x14ac:dyDescent="0.25">
      <c r="A9" s="3"/>
      <c r="B9" s="21" t="s">
        <v>27</v>
      </c>
      <c r="C9" s="31" t="str">
        <f>Tabela4[CIDADE EVENTO]</f>
        <v>MAUÁ</v>
      </c>
      <c r="D9" s="3"/>
    </row>
    <row r="10" spans="1:4" ht="16.5" x14ac:dyDescent="0.25">
      <c r="A10" s="3"/>
      <c r="B10" s="21" t="s">
        <v>28</v>
      </c>
      <c r="C10" s="31" t="str">
        <f>Tabela4[ESTADO DO EVENTO]</f>
        <v>SÃO PAULO</v>
      </c>
      <c r="D10" s="3"/>
    </row>
    <row r="11" spans="1:4" ht="16.5" x14ac:dyDescent="0.25">
      <c r="A11" s="3"/>
      <c r="B11" s="21" t="s">
        <v>29</v>
      </c>
      <c r="C11" s="31" t="str">
        <f>Tabela4[TELEFONE DO EVENTO]</f>
        <v>4002-8922</v>
      </c>
      <c r="D11" s="3"/>
    </row>
    <row r="12" spans="1:4" ht="26.25" customHeight="1" x14ac:dyDescent="0.25">
      <c r="A12" s="3"/>
      <c r="B12" s="3"/>
      <c r="C12" s="3"/>
      <c r="D12" s="3"/>
    </row>
    <row r="13" spans="1:4" ht="21.75" customHeight="1" x14ac:dyDescent="0.25">
      <c r="A13" s="3"/>
      <c r="B13" s="45" t="s">
        <v>21</v>
      </c>
      <c r="C13" s="46"/>
      <c r="D13" s="46"/>
    </row>
    <row r="14" spans="1:4" ht="9" customHeight="1" x14ac:dyDescent="0.25">
      <c r="A14" s="3"/>
      <c r="B14" s="3"/>
      <c r="C14" s="3"/>
      <c r="D14" s="3"/>
    </row>
    <row r="15" spans="1:4" ht="22.5" customHeight="1" x14ac:dyDescent="0.25">
      <c r="A15" s="3"/>
      <c r="B15" s="22" t="s">
        <v>32</v>
      </c>
      <c r="C15" s="22" t="s">
        <v>33</v>
      </c>
      <c r="D15" s="3"/>
    </row>
    <row r="16" spans="1:4" x14ac:dyDescent="0.25">
      <c r="A16" s="3"/>
      <c r="B16" s="47" t="s">
        <v>22</v>
      </c>
      <c r="C16" s="49">
        <f>'CALCULAR GASTOS'!C3</f>
        <v>50</v>
      </c>
      <c r="D16" s="3"/>
    </row>
    <row r="17" spans="1:4" ht="16.5" customHeight="1" x14ac:dyDescent="0.25">
      <c r="A17" s="3"/>
      <c r="B17" s="48"/>
      <c r="C17" s="50"/>
      <c r="D17" s="3"/>
    </row>
    <row r="18" spans="1:4" ht="15" customHeight="1" x14ac:dyDescent="0.25">
      <c r="A18" s="3"/>
      <c r="B18" s="47" t="s">
        <v>23</v>
      </c>
      <c r="C18" s="49">
        <f>'CALCULAR GANHOS'!C4</f>
        <v>1006</v>
      </c>
      <c r="D18" s="3"/>
    </row>
    <row r="19" spans="1:4" ht="16.5" customHeight="1" x14ac:dyDescent="0.25">
      <c r="A19" s="3"/>
      <c r="B19" s="48"/>
      <c r="C19" s="50"/>
      <c r="D19" s="3"/>
    </row>
    <row r="20" spans="1:4" ht="15" customHeight="1" x14ac:dyDescent="0.25">
      <c r="A20" s="3"/>
      <c r="B20" s="47" t="s">
        <v>30</v>
      </c>
      <c r="C20" s="51">
        <f>'CALCULAR GANHOS'!C4-'CALCULAR GASTOS'!C3</f>
        <v>956</v>
      </c>
      <c r="D20" s="3"/>
    </row>
    <row r="21" spans="1:4" x14ac:dyDescent="0.25">
      <c r="A21" s="3"/>
      <c r="B21" s="48"/>
      <c r="C21" s="52"/>
      <c r="D21" s="3"/>
    </row>
  </sheetData>
  <mergeCells count="8">
    <mergeCell ref="A1:D1"/>
    <mergeCell ref="B13:D13"/>
    <mergeCell ref="B20:B21"/>
    <mergeCell ref="B18:B19"/>
    <mergeCell ref="B16:B17"/>
    <mergeCell ref="C16:C17"/>
    <mergeCell ref="C18:C19"/>
    <mergeCell ref="C20:C21"/>
  </mergeCells>
  <pageMargins left="0.51181102362204722" right="0.51181102362204722" top="0.78740157480314965" bottom="0.78740157480314965" header="0.31496062992125984" footer="0.31496062992125984"/>
  <pageSetup paperSize="9" orientation="landscape" useFirstPageNumber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rimir">
                <anchor moveWithCells="1" sizeWithCells="1">
                  <from>
                    <xdr:col>5</xdr:col>
                    <xdr:colOff>0</xdr:colOff>
                    <xdr:row>15</xdr:row>
                    <xdr:rowOff>47625</xdr:rowOff>
                  </from>
                  <to>
                    <xdr:col>7</xdr:col>
                    <xdr:colOff>247650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18"/>
  <sheetViews>
    <sheetView showGridLines="0" workbookViewId="0"/>
  </sheetViews>
  <sheetFormatPr defaultRowHeight="15" x14ac:dyDescent="0.25"/>
  <cols>
    <col min="1" max="1" width="25.5703125" customWidth="1"/>
    <col min="2" max="2" width="28.5703125" customWidth="1"/>
    <col min="3" max="3" width="25.42578125" customWidth="1"/>
    <col min="4" max="4" width="21.5703125" customWidth="1"/>
    <col min="5" max="5" width="22.42578125" customWidth="1"/>
    <col min="6" max="6" width="28.85546875" customWidth="1"/>
    <col min="7" max="7" width="17.28515625" customWidth="1"/>
    <col min="8" max="8" width="20.85546875" customWidth="1"/>
  </cols>
  <sheetData>
    <row r="1" spans="1:8" ht="50.25" customHeight="1" x14ac:dyDescent="0.25">
      <c r="A1" s="7" t="s">
        <v>15</v>
      </c>
      <c r="B1" s="8" t="s">
        <v>20</v>
      </c>
      <c r="C1" s="8" t="s">
        <v>17</v>
      </c>
      <c r="D1" s="8" t="s">
        <v>0</v>
      </c>
      <c r="E1" s="8" t="s">
        <v>1</v>
      </c>
      <c r="F1" s="8" t="s">
        <v>16</v>
      </c>
      <c r="G1" s="8" t="s">
        <v>18</v>
      </c>
      <c r="H1" s="9" t="s">
        <v>19</v>
      </c>
    </row>
    <row r="2" spans="1:8" ht="54.75" customHeight="1" x14ac:dyDescent="0.25">
      <c r="A2" s="26" t="s">
        <v>47</v>
      </c>
      <c r="B2" s="23" t="s">
        <v>41</v>
      </c>
      <c r="C2" s="32" t="s">
        <v>42</v>
      </c>
      <c r="D2" s="23" t="s">
        <v>43</v>
      </c>
      <c r="E2" s="25">
        <v>43741</v>
      </c>
      <c r="F2" s="23" t="s">
        <v>44</v>
      </c>
      <c r="G2" s="23" t="s">
        <v>45</v>
      </c>
      <c r="H2" s="24" t="s">
        <v>46</v>
      </c>
    </row>
    <row r="4" spans="1:8" ht="29.25" customHeight="1" x14ac:dyDescent="0.25">
      <c r="A4" s="54" t="s">
        <v>36</v>
      </c>
      <c r="B4" s="44"/>
      <c r="C4" s="44"/>
    </row>
    <row r="12" spans="1:8" x14ac:dyDescent="0.25">
      <c r="A12" s="53" t="s">
        <v>37</v>
      </c>
      <c r="B12" s="37"/>
      <c r="C12" s="37"/>
      <c r="D12" s="37"/>
      <c r="E12" s="37"/>
      <c r="F12" s="37"/>
      <c r="G12" s="37"/>
      <c r="H12" s="37"/>
    </row>
    <row r="13" spans="1:8" x14ac:dyDescent="0.25">
      <c r="A13" s="37"/>
      <c r="B13" s="37"/>
      <c r="C13" s="37"/>
      <c r="D13" s="37"/>
      <c r="E13" s="37"/>
      <c r="F13" s="37"/>
      <c r="G13" s="37"/>
      <c r="H13" s="37"/>
    </row>
    <row r="14" spans="1:8" x14ac:dyDescent="0.25">
      <c r="A14" s="37"/>
      <c r="B14" s="37"/>
      <c r="C14" s="37"/>
      <c r="D14" s="37"/>
      <c r="E14" s="37"/>
      <c r="F14" s="37"/>
      <c r="G14" s="37"/>
      <c r="H14" s="37"/>
    </row>
    <row r="15" spans="1:8" x14ac:dyDescent="0.25">
      <c r="A15" s="37"/>
      <c r="B15" s="37"/>
      <c r="C15" s="37"/>
      <c r="D15" s="37"/>
      <c r="E15" s="37"/>
      <c r="F15" s="37"/>
      <c r="G15" s="37"/>
      <c r="H15" s="37"/>
    </row>
    <row r="16" spans="1:8" x14ac:dyDescent="0.25">
      <c r="A16" s="37"/>
      <c r="B16" s="37"/>
      <c r="C16" s="37"/>
      <c r="D16" s="37"/>
      <c r="E16" s="37"/>
      <c r="F16" s="37"/>
      <c r="G16" s="37"/>
      <c r="H16" s="37"/>
    </row>
    <row r="17" spans="1:8" x14ac:dyDescent="0.25">
      <c r="A17" s="37"/>
      <c r="B17" s="37"/>
      <c r="C17" s="37"/>
      <c r="D17" s="37"/>
      <c r="E17" s="37"/>
      <c r="F17" s="37"/>
      <c r="G17" s="37"/>
      <c r="H17" s="37"/>
    </row>
    <row r="18" spans="1:8" x14ac:dyDescent="0.25">
      <c r="A18" s="37"/>
      <c r="B18" s="37"/>
      <c r="C18" s="37"/>
      <c r="D18" s="37"/>
      <c r="E18" s="37"/>
      <c r="F18" s="37"/>
      <c r="G18" s="37"/>
      <c r="H18" s="37"/>
    </row>
  </sheetData>
  <mergeCells count="2">
    <mergeCell ref="A12:H18"/>
    <mergeCell ref="A4:C4"/>
  </mergeCells>
  <hyperlinks>
    <hyperlink ref="C2" r:id="rId1"/>
  </hyperlink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CALCULAR GASTOS</vt:lpstr>
      <vt:lpstr>CALCULAR GANHOS</vt:lpstr>
      <vt:lpstr>MENU INICIAL</vt:lpstr>
      <vt:lpstr>FATURA</vt:lpstr>
      <vt:lpstr>INFORMAÇÕES EVENTO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Diario</dc:creator>
  <cp:lastModifiedBy>Aluno</cp:lastModifiedBy>
  <cp:lastPrinted>2019-04-08T13:40:23Z</cp:lastPrinted>
  <dcterms:created xsi:type="dcterms:W3CDTF">2019-04-02T11:52:44Z</dcterms:created>
  <dcterms:modified xsi:type="dcterms:W3CDTF">2019-04-09T00:51:40Z</dcterms:modified>
</cp:coreProperties>
</file>